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istributors" sheetId="4" state="visible" r:id="rId4"/>
    <sheet xmlns:r="http://schemas.openxmlformats.org/officeDocument/2006/relationships" name="Order_Model" sheetId="5" state="visible" r:id="rId5"/>
    <sheet xmlns:r="http://schemas.openxmlformats.org/officeDocument/2006/relationships" name="Migration" sheetId="6" state="visible" r:id="rId6"/>
    <sheet xmlns:r="http://schemas.openxmlformats.org/officeDocument/2006/relationships" name="Vendor_Evaluation" sheetId="7" state="visible" r:id="rId7"/>
    <sheet xmlns:r="http://schemas.openxmlformats.org/officeDocument/2006/relationships" name="RFQ_Costs" sheetId="8" state="visible" r:id="rId8"/>
    <sheet xmlns:r="http://schemas.openxmlformats.org/officeDocument/2006/relationships" name="UAT" sheetId="9" state="visible" r:id="rId9"/>
    <sheet xmlns:r="http://schemas.openxmlformats.org/officeDocument/2006/relationships" name="RTM" sheetId="10" state="visible" r:id="rId10"/>
    <sheet xmlns:r="http://schemas.openxmlformats.org/officeDocument/2006/relationships" name="Defects" sheetId="11" state="visible" r:id="rId11"/>
    <sheet xmlns:r="http://schemas.openxmlformats.org/officeDocument/2006/relationships" name="Feedback" sheetId="12" state="visible" r:id="rId12"/>
    <sheet xmlns:r="http://schemas.openxmlformats.org/officeDocument/2006/relationships" name="Go_Live" sheetId="13" state="visible" r:id="rId13"/>
  </sheets>
  <definedNames>
    <definedName name="_xlnm._FilterDatabase" localSheetId="0" hidden="1">'Read_Me'!$A$1:$B$6</definedName>
    <definedName name="_xlnm._FilterDatabase" localSheetId="1" hidden="1">'Requirements'!$A$1:$D$11</definedName>
    <definedName name="_xlnm._FilterDatabase" localSheetId="2" hidden="1">'Products'!$A$1:$F$5</definedName>
    <definedName name="_xlnm._FilterDatabase" localSheetId="3" hidden="1">'Distributors'!$A$1:$D$4</definedName>
    <definedName name="_xlnm._FilterDatabase" localSheetId="4" hidden="1">'Order_Model'!$A$1:$N$2</definedName>
    <definedName name="_xlnm._FilterDatabase" localSheetId="5" hidden="1">'Migration'!$A$1:$E$11</definedName>
    <definedName name="_xlnm._FilterDatabase" localSheetId="6" hidden="1">'Vendor_Evaluation'!$A$1:$E$8</definedName>
    <definedName name="_xlnm._FilterDatabase" localSheetId="7" hidden="1">'RFQ_Costs'!$A$1:$I$4</definedName>
    <definedName name="_xlnm._FilterDatabase" localSheetId="8" hidden="1">'UAT'!$A$1:$H$19</definedName>
    <definedName name="_xlnm._FilterDatabase" localSheetId="9" hidden="1">'RTM'!$A$1:$D$11</definedName>
    <definedName name="_xlnm._FilterDatabase" localSheetId="10" hidden="1">'Defects'!$A$1:$G$2</definedName>
    <definedName name="_xlnm._FilterDatabase" localSheetId="11" hidden="1">'Feedback'!$A$1:$G$3</definedName>
    <definedName name="_xlnm._FilterDatabase" localSheetId="12" hidden="1">'Go_Live'!$A$1:$D$8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64C0"/>
    </font>
  </fonts>
  <fills count="3">
    <fill>
      <patternFill/>
    </fill>
    <fill>
      <patternFill patternType="gray125"/>
    </fill>
    <fill>
      <patternFill patternType="solid">
        <fgColor rgb="0018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Notes</t>
        </is>
      </c>
    </row>
    <row r="2">
      <c r="A2" s="2" t="inlineStr">
        <is>
          <t>Status</t>
        </is>
      </c>
      <c r="B2" s="2" t="inlineStr">
        <is>
          <t>Synthetic portfolio. No actual client, vendor award or UAT sign-off.</t>
        </is>
      </c>
    </row>
    <row r="3">
      <c r="A3" s="2" t="inlineStr">
        <is>
          <t>Currency/unit</t>
        </is>
      </c>
      <c r="B3" s="2" t="inlineStr">
        <is>
          <t>INR; cartons; all prices exclude tax.</t>
        </is>
      </c>
    </row>
    <row r="4">
      <c r="A4" s="2" t="inlineStr">
        <is>
          <t>Formulas</t>
        </is>
      </c>
      <c r="B4" s="2" t="inlineStr">
        <is>
          <t>Open in Excel to calculate. Formula cells are blue. Values are illustrative.</t>
        </is>
      </c>
    </row>
    <row r="5">
      <c r="A5" s="2" t="inlineStr">
        <is>
          <t>UAT</t>
        </is>
      </c>
      <c r="B5" s="2" t="inlineStr">
        <is>
          <t>Not run. Record actual results and evidence after execution.</t>
        </is>
      </c>
    </row>
    <row r="6">
      <c r="A6" s="2" t="inlineStr">
        <is>
          <t>Prototype</t>
        </is>
      </c>
      <c r="B6" s="2" t="inlineStr">
        <is>
          <t>Open Order_Workflow_Prototype.html locally. It covers only one-line order checks, not inventory posting or access control.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65" customWidth="1" min="4" max="4"/>
  </cols>
  <sheetData>
    <row r="1">
      <c r="A1" s="1" t="inlineStr">
        <is>
          <t>ID</t>
        </is>
      </c>
      <c r="B1" s="1" t="inlineStr">
        <is>
          <t>Capability</t>
        </is>
      </c>
      <c r="C1" s="1" t="inlineStr">
        <is>
          <t>Owner</t>
        </is>
      </c>
      <c r="D1" s="1" t="inlineStr">
        <is>
          <t>Acceptance</t>
        </is>
      </c>
    </row>
    <row r="2">
      <c r="A2" s="2" t="inlineStr">
        <is>
          <t>REQ01</t>
        </is>
      </c>
      <c r="B2" s="2" t="inlineStr">
        <is>
          <t>Order capture</t>
        </is>
      </c>
      <c r="C2" s="2" t="inlineStr">
        <is>
          <t>Distributor</t>
        </is>
      </c>
      <c r="D2" s="2" t="inlineStr">
        <is>
          <t>Create an order with active SKUs and positive integer carton quantities; inactive products cannot be submitted.</t>
        </is>
      </c>
    </row>
    <row r="3">
      <c r="A3" s="2" t="inlineStr">
        <is>
          <t>REQ02</t>
        </is>
      </c>
      <c r="B3" s="2" t="inlineStr">
        <is>
          <t>Pricing and schemes</t>
        </is>
      </c>
      <c r="C3" s="2" t="inlineStr">
        <is>
          <t>Sales operations</t>
        </is>
      </c>
      <c r="D3" s="2" t="inlineStr">
        <is>
          <t>Use effective carton price; apply 5% discount when an order line has at least 10 cartons. No stacked discounts.</t>
        </is>
      </c>
    </row>
    <row r="4">
      <c r="A4" s="2" t="inlineStr">
        <is>
          <t>REQ03</t>
        </is>
      </c>
      <c r="B4" s="2" t="inlineStr">
        <is>
          <t>Credit control</t>
        </is>
      </c>
      <c r="C4" s="2" t="inlineStr">
        <is>
          <t>Finance</t>
        </is>
      </c>
      <c r="D4" s="2" t="inlineStr">
        <is>
          <t>Hold an order when outstanding exposure plus net order value exceeds the limit; finance approval is required to release it.</t>
        </is>
      </c>
    </row>
    <row r="5">
      <c r="A5" s="2" t="inlineStr">
        <is>
          <t>REQ04</t>
        </is>
      </c>
      <c r="B5" s="2" t="inlineStr">
        <is>
          <t>Inventory reservation</t>
        </is>
      </c>
      <c r="C5" s="2" t="inlineStr">
        <is>
          <t>Warehouse</t>
        </is>
      </c>
      <c r="D5" s="2" t="inlineStr">
        <is>
          <t>Reserve stock only after credit clearance; available stock equals on-hand minus reserved. Reject insufficient stock; no partial fulfilment in pilot.</t>
        </is>
      </c>
    </row>
    <row r="6">
      <c r="A6" s="2" t="inlineStr">
        <is>
          <t>REQ05</t>
        </is>
      </c>
      <c r="B6" s="2" t="inlineStr">
        <is>
          <t>Delivery</t>
        </is>
      </c>
      <c r="C6" s="2" t="inlineStr">
        <is>
          <t>Warehouse</t>
        </is>
      </c>
      <c r="D6" s="2" t="inlineStr">
        <is>
          <t>Dispatch reduces on-hand and releases the same reservation; a second dispatch request must not change stock.</t>
        </is>
      </c>
    </row>
    <row r="7">
      <c r="A7" s="2" t="inlineStr">
        <is>
          <t>REQ06</t>
        </is>
      </c>
      <c r="B7" s="2" t="inlineStr">
        <is>
          <t>Returns</t>
        </is>
      </c>
      <c r="C7" s="2" t="inlineStr">
        <is>
          <t>Warehouse</t>
        </is>
      </c>
      <c r="D7" s="2" t="inlineStr">
        <is>
          <t>Return quantity cannot exceed delivered less previously returned; saleable approved returns increase stock; damaged returns are quarantined.</t>
        </is>
      </c>
    </row>
    <row r="8">
      <c r="A8" s="2" t="inlineStr">
        <is>
          <t>REQ07</t>
        </is>
      </c>
      <c r="B8" s="2" t="inlineStr">
        <is>
          <t>Access control</t>
        </is>
      </c>
      <c r="C8" s="2" t="inlineStr">
        <is>
          <t>Administrator</t>
        </is>
      </c>
      <c r="D8" s="2" t="inlineStr">
        <is>
          <t>Distributor sees only its own orders. Finance releases credit holds; warehouse dispatches. Record actor, time and before/after status.</t>
        </is>
      </c>
    </row>
    <row r="9">
      <c r="A9" s="2" t="inlineStr">
        <is>
          <t>REQ08</t>
        </is>
      </c>
      <c r="B9" s="2" t="inlineStr">
        <is>
          <t>Migration</t>
        </is>
      </c>
      <c r="C9" s="2" t="inlineStr">
        <is>
          <t>Data steward</t>
        </is>
      </c>
      <c r="D9" s="2" t="inlineStr">
        <is>
          <t>Reject duplicate keys and missing references; reconcile record counts, opening stock and outstanding balances before import approval.</t>
        </is>
      </c>
    </row>
    <row r="10">
      <c r="A10" s="2" t="inlineStr">
        <is>
          <t>REQ09</t>
        </is>
      </c>
      <c r="B10" s="2" t="inlineStr">
        <is>
          <t>Reporting</t>
        </is>
      </c>
      <c r="C10" s="2" t="inlineStr">
        <is>
          <t>Sales manager</t>
        </is>
      </c>
      <c r="D10" s="2" t="inlineStr">
        <is>
          <t>Report order net value, fulfilled cartons divided by ordered cartons, held orders, and available stock by SKU. Exclude cancelled orders.</t>
        </is>
      </c>
    </row>
    <row r="11">
      <c r="A11" s="2" t="inlineStr">
        <is>
          <t>REQ10</t>
        </is>
      </c>
      <c r="B11" s="2" t="inlineStr">
        <is>
          <t>Integration</t>
        </is>
      </c>
      <c r="C11" s="2" t="inlineStr">
        <is>
          <t>IT</t>
        </is>
      </c>
      <c r="D11" s="2" t="inlineStr">
        <is>
          <t>ERP remains invoice/accounting source. Use unique order ID and retry-safe imports; put failed records into an exception queue.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Price_per_carton</t>
        </is>
      </c>
      <c r="D1" s="1" t="inlineStr">
        <is>
          <t>On_hand</t>
        </is>
      </c>
      <c r="E1" s="1" t="inlineStr">
        <is>
          <t>Reserved</t>
        </is>
      </c>
      <c r="F1" s="1" t="inlineStr">
        <is>
          <t>Status</t>
        </is>
      </c>
    </row>
    <row r="2">
      <c r="A2" s="2" t="inlineStr">
        <is>
          <t>SKU01</t>
        </is>
      </c>
      <c r="B2" s="2" t="inlineStr">
        <is>
          <t>Spiced Snack 12-pack</t>
        </is>
      </c>
      <c r="C2" s="2" t="n">
        <v>1000</v>
      </c>
      <c r="D2" s="2" t="n">
        <v>30</v>
      </c>
      <c r="E2" s="2" t="n">
        <v>5</v>
      </c>
      <c r="F2" s="2" t="inlineStr">
        <is>
          <t>Active</t>
        </is>
      </c>
    </row>
    <row r="3">
      <c r="A3" s="2" t="inlineStr">
        <is>
          <t>SKU02</t>
        </is>
      </c>
      <c r="B3" s="2" t="inlineStr">
        <is>
          <t>Baked Crackers 24-pack</t>
        </is>
      </c>
      <c r="C3" s="2" t="n">
        <v>800</v>
      </c>
      <c r="D3" s="2" t="n">
        <v>20</v>
      </c>
      <c r="E3" s="2" t="n">
        <v>0</v>
      </c>
      <c r="F3" s="2" t="inlineStr">
        <is>
          <t>Active</t>
        </is>
      </c>
    </row>
    <row r="4">
      <c r="A4" s="2" t="inlineStr">
        <is>
          <t>SKU03</t>
        </is>
      </c>
      <c r="B4" s="2" t="inlineStr">
        <is>
          <t>Fruit Bar 20-pack</t>
        </is>
      </c>
      <c r="C4" s="2" t="n">
        <v>1200</v>
      </c>
      <c r="D4" s="2" t="n">
        <v>10</v>
      </c>
      <c r="E4" s="2" t="n">
        <v>2</v>
      </c>
      <c r="F4" s="2" t="inlineStr">
        <is>
          <t>Active</t>
        </is>
      </c>
    </row>
    <row r="5">
      <c r="A5" s="2" t="inlineStr">
        <is>
          <t>SKU04</t>
        </is>
      </c>
      <c r="B5" s="2" t="inlineStr">
        <is>
          <t>Old Snack Pack</t>
        </is>
      </c>
      <c r="C5" s="2" t="n">
        <v>700</v>
      </c>
      <c r="D5" s="2" t="n">
        <v>15</v>
      </c>
      <c r="E5" s="2" t="n">
        <v>0</v>
      </c>
      <c r="F5" s="2" t="inlineStr">
        <is>
          <t>Inactive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Credit_limit</t>
        </is>
      </c>
      <c r="D1" s="1" t="inlineStr">
        <is>
          <t>Outstanding</t>
        </is>
      </c>
    </row>
    <row r="2">
      <c r="A2" s="2" t="inlineStr">
        <is>
          <t>D001</t>
        </is>
      </c>
      <c r="B2" s="2" t="inlineStr">
        <is>
          <t>Chennai Distributor</t>
        </is>
      </c>
      <c r="C2" s="2" t="n">
        <v>50000</v>
      </c>
      <c r="D2" s="2" t="n">
        <v>42000</v>
      </c>
    </row>
    <row r="3">
      <c r="A3" s="2" t="inlineStr">
        <is>
          <t>D002</t>
        </is>
      </c>
      <c r="B3" s="2" t="inlineStr">
        <is>
          <t>Bengaluru Distributor</t>
        </is>
      </c>
      <c r="C3" s="2" t="n">
        <v>100000</v>
      </c>
      <c r="D3" s="2" t="n">
        <v>20000</v>
      </c>
    </row>
    <row r="4">
      <c r="A4" s="2" t="inlineStr">
        <is>
          <t>D003</t>
        </is>
      </c>
      <c r="B4" s="2" t="inlineStr">
        <is>
          <t>Hyderabad Distributor</t>
        </is>
      </c>
      <c r="C4" s="2" t="n">
        <v>75000</v>
      </c>
      <c r="D4" s="2" t="n">
        <v>70000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  <col width="17" customWidth="1" min="11" max="11"/>
    <col width="30" customWidth="1" min="12" max="12"/>
    <col width="39" customWidth="1" min="13" max="13"/>
    <col width="65" customWidth="1" min="14" max="14"/>
  </cols>
  <sheetData>
    <row r="1">
      <c r="A1" s="1" t="inlineStr">
        <is>
          <t>Order_ID</t>
        </is>
      </c>
      <c r="B1" s="1" t="inlineStr">
        <is>
          <t>Distributor</t>
        </is>
      </c>
      <c r="C1" s="1" t="inlineStr">
        <is>
          <t>SKU</t>
        </is>
      </c>
      <c r="D1" s="1" t="inlineStr">
        <is>
          <t>Cartons</t>
        </is>
      </c>
      <c r="E1" s="1" t="inlineStr">
        <is>
          <t>Price</t>
        </is>
      </c>
      <c r="F1" s="1" t="inlineStr">
        <is>
          <t>Gross</t>
        </is>
      </c>
      <c r="G1" s="1" t="inlineStr">
        <is>
          <t>Discount_rate</t>
        </is>
      </c>
      <c r="H1" s="1" t="inlineStr">
        <is>
          <t>Net</t>
        </is>
      </c>
      <c r="I1" s="1" t="inlineStr">
        <is>
          <t>Outstanding</t>
        </is>
      </c>
      <c r="J1" s="1" t="inlineStr">
        <is>
          <t>Credit_limit</t>
        </is>
      </c>
      <c r="K1" s="1" t="inlineStr">
        <is>
          <t>Available_stock</t>
        </is>
      </c>
      <c r="L1" s="1" t="inlineStr">
        <is>
          <t>Credit_result</t>
        </is>
      </c>
      <c r="M1" s="1" t="inlineStr">
        <is>
          <t>Stock_result</t>
        </is>
      </c>
      <c r="N1" s="1" t="inlineStr">
        <is>
          <t>Decision</t>
        </is>
      </c>
    </row>
    <row r="2">
      <c r="A2" s="2" t="inlineStr">
        <is>
          <t>O001</t>
        </is>
      </c>
      <c r="B2" s="2" t="inlineStr">
        <is>
          <t>D001</t>
        </is>
      </c>
      <c r="C2" s="2" t="inlineStr">
        <is>
          <t>SKU01</t>
        </is>
      </c>
      <c r="D2" s="2" t="n">
        <v>10</v>
      </c>
      <c r="E2" s="2" t="n">
        <v>1000</v>
      </c>
      <c r="F2" s="3">
        <f>D2*E2</f>
        <v/>
      </c>
      <c r="G2" s="3">
        <f>IF(D2&gt;=10,0.05,0)</f>
        <v/>
      </c>
      <c r="H2" s="3">
        <f>F2*(1-G2)</f>
        <v/>
      </c>
      <c r="I2" s="2" t="n">
        <v>42000</v>
      </c>
      <c r="J2" s="2" t="n">
        <v>50000</v>
      </c>
      <c r="K2" s="2" t="n">
        <v>25</v>
      </c>
      <c r="L2" s="3">
        <f>IF(I2+H2&gt;J2,"HOLD","CLEAR")</f>
        <v/>
      </c>
      <c r="M2" s="3">
        <f>IF(D2&gt;K2,"INSUFFICIENT","AVAILABLE")</f>
        <v/>
      </c>
      <c r="N2" s="3">
        <f>IF(OR(D2&lt;=0,MOD(D2,1)&lt;&gt;0),"INVALID QUANTITY",IF(M2="INSUFFICIENT","REJECT",IF(L2="HOLD","CREDIT HOLD","READY TO RESERVE")))</f>
        <v/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43" customWidth="1" min="4" max="4"/>
    <col width="40" customWidth="1" min="5" max="5"/>
  </cols>
  <sheetData>
    <row r="1">
      <c r="A1" s="1" t="inlineStr">
        <is>
          <t>Entity</t>
        </is>
      </c>
      <c r="B1" s="1" t="inlineStr">
        <is>
          <t>Source_field</t>
        </is>
      </c>
      <c r="C1" s="1" t="inlineStr">
        <is>
          <t>Target_field</t>
        </is>
      </c>
      <c r="D1" s="1" t="inlineStr">
        <is>
          <t>Rule</t>
        </is>
      </c>
      <c r="E1" s="1" t="inlineStr">
        <is>
          <t>Error_action</t>
        </is>
      </c>
    </row>
    <row r="2">
      <c r="A2" s="2" t="inlineStr">
        <is>
          <t>Product</t>
        </is>
      </c>
      <c r="B2" s="2" t="inlineStr">
        <is>
          <t>item_code</t>
        </is>
      </c>
      <c r="C2" s="2" t="inlineStr">
        <is>
          <t>sku_id</t>
        </is>
      </c>
      <c r="D2" s="2" t="inlineStr">
        <is>
          <t>Unique, nonblank</t>
        </is>
      </c>
      <c r="E2" s="2" t="inlineStr">
        <is>
          <t>Reject duplicate/missing</t>
        </is>
      </c>
    </row>
    <row r="3">
      <c r="A3" s="2" t="inlineStr">
        <is>
          <t>Product</t>
        </is>
      </c>
      <c r="B3" s="2" t="inlineStr">
        <is>
          <t>rate_carton</t>
        </is>
      </c>
      <c r="C3" s="2" t="inlineStr">
        <is>
          <t>price</t>
        </is>
      </c>
      <c r="D3" s="2" t="inlineStr">
        <is>
          <t>Positive decimal in INR</t>
        </is>
      </c>
      <c r="E3" s="2" t="inlineStr">
        <is>
          <t>Reject invalid</t>
        </is>
      </c>
    </row>
    <row r="4">
      <c r="A4" s="2" t="inlineStr">
        <is>
          <t>Distributor</t>
        </is>
      </c>
      <c r="B4" s="2" t="inlineStr">
        <is>
          <t>account_code</t>
        </is>
      </c>
      <c r="C4" s="2" t="inlineStr">
        <is>
          <t>distributor_id</t>
        </is>
      </c>
      <c r="D4" s="2" t="inlineStr">
        <is>
          <t>Unique, nonblank</t>
        </is>
      </c>
      <c r="E4" s="2" t="inlineStr">
        <is>
          <t>Reject duplicate/missing</t>
        </is>
      </c>
    </row>
    <row r="5">
      <c r="A5" s="2" t="inlineStr">
        <is>
          <t>Distributor</t>
        </is>
      </c>
      <c r="B5" s="2" t="inlineStr">
        <is>
          <t>unpaid_amount</t>
        </is>
      </c>
      <c r="C5" s="2" t="inlineStr">
        <is>
          <t>outstanding</t>
        </is>
      </c>
      <c r="D5" s="2" t="inlineStr">
        <is>
          <t>Nonnegative decimal; reconcile source sum</t>
        </is>
      </c>
      <c r="E5" s="2" t="inlineStr">
        <is>
          <t>Reject invalid; block unmatched totals</t>
        </is>
      </c>
    </row>
    <row r="6">
      <c r="A6" s="2" t="inlineStr">
        <is>
          <t>Inventory</t>
        </is>
      </c>
      <c r="B6" s="2" t="inlineStr">
        <is>
          <t>item_code</t>
        </is>
      </c>
      <c r="C6" s="2" t="inlineStr">
        <is>
          <t>sku_id</t>
        </is>
      </c>
      <c r="D6" s="2" t="inlineStr">
        <is>
          <t>Must exist in product master</t>
        </is>
      </c>
      <c r="E6" s="2" t="inlineStr">
        <is>
          <t>Reject orphan</t>
        </is>
      </c>
    </row>
    <row r="7">
      <c r="A7" s="2" t="inlineStr">
        <is>
          <t>Inventory</t>
        </is>
      </c>
      <c r="B7" s="2" t="inlineStr">
        <is>
          <t>stock_cartons</t>
        </is>
      </c>
      <c r="C7" s="2" t="inlineStr">
        <is>
          <t>on_hand</t>
        </is>
      </c>
      <c r="D7" s="2" t="inlineStr">
        <is>
          <t>Nonnegative integer; reconcile sum</t>
        </is>
      </c>
      <c r="E7" s="2" t="inlineStr">
        <is>
          <t>Reject invalid</t>
        </is>
      </c>
    </row>
    <row r="8">
      <c r="A8" s="2" t="inlineStr">
        <is>
          <t>Inventory</t>
        </is>
      </c>
      <c r="B8" s="2" t="inlineStr">
        <is>
          <t>reserved_cartons</t>
        </is>
      </c>
      <c r="C8" s="2" t="inlineStr">
        <is>
          <t>reserved</t>
        </is>
      </c>
      <c r="D8" s="2" t="inlineStr">
        <is>
          <t>0 &lt;= reserved &lt;= on_hand</t>
        </is>
      </c>
      <c r="E8" s="2" t="inlineStr">
        <is>
          <t>Reject excess</t>
        </is>
      </c>
    </row>
    <row r="9">
      <c r="A9" s="2" t="inlineStr">
        <is>
          <t>Order</t>
        </is>
      </c>
      <c r="B9" s="2" t="inlineStr">
        <is>
          <t>account_code</t>
        </is>
      </c>
      <c r="C9" s="2" t="inlineStr">
        <is>
          <t>distributor_id</t>
        </is>
      </c>
      <c r="D9" s="2" t="inlineStr">
        <is>
          <t>Must exist in distributor master</t>
        </is>
      </c>
      <c r="E9" s="2" t="inlineStr">
        <is>
          <t>Reject orphan</t>
        </is>
      </c>
    </row>
    <row r="10">
      <c r="A10" s="2" t="inlineStr">
        <is>
          <t>Order</t>
        </is>
      </c>
      <c r="B10" s="2" t="inlineStr">
        <is>
          <t>order_no</t>
        </is>
      </c>
      <c r="C10" s="2" t="inlineStr">
        <is>
          <t>order_id</t>
        </is>
      </c>
      <c r="D10" s="2" t="inlineStr">
        <is>
          <t>Unique idempotency key</t>
        </is>
      </c>
      <c r="E10" s="2" t="inlineStr">
        <is>
          <t>Reject duplicate</t>
        </is>
      </c>
    </row>
    <row r="11">
      <c r="A11" s="2" t="inlineStr">
        <is>
          <t>Order</t>
        </is>
      </c>
      <c r="B11" s="2" t="inlineStr">
        <is>
          <t>qty</t>
        </is>
      </c>
      <c r="C11" s="2" t="inlineStr">
        <is>
          <t>cartons</t>
        </is>
      </c>
      <c r="D11" s="2" t="inlineStr">
        <is>
          <t>Positive integer</t>
        </is>
      </c>
      <c r="E11" s="2" t="inlineStr">
        <is>
          <t>Reject invalid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9" customWidth="1" min="3" max="3"/>
    <col width="29" customWidth="1" min="4" max="4"/>
    <col width="29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Vendor_A</t>
        </is>
      </c>
      <c r="D1" s="1" t="inlineStr">
        <is>
          <t>Vendor_B</t>
        </is>
      </c>
      <c r="E1" s="1" t="inlineStr">
        <is>
          <t>Vendor_C</t>
        </is>
      </c>
    </row>
    <row r="2">
      <c r="A2" s="2" t="inlineStr">
        <is>
          <t>Functional fit</t>
        </is>
      </c>
      <c r="B2" s="2" t="n">
        <v>0.35</v>
      </c>
      <c r="C2" s="2" t="n">
        <v>4</v>
      </c>
      <c r="D2" s="2" t="n">
        <v>3</v>
      </c>
      <c r="E2" s="2" t="n">
        <v>5</v>
      </c>
    </row>
    <row r="3">
      <c r="A3" s="2" t="inlineStr">
        <is>
          <t>Integration</t>
        </is>
      </c>
      <c r="B3" s="2" t="n">
        <v>0.2</v>
      </c>
      <c r="C3" s="2" t="n">
        <v>4</v>
      </c>
      <c r="D3" s="2" t="n">
        <v>3</v>
      </c>
      <c r="E3" s="2" t="n">
        <v>4</v>
      </c>
    </row>
    <row r="4">
      <c r="A4" s="2" t="inlineStr">
        <is>
          <t>Security</t>
        </is>
      </c>
      <c r="B4" s="2" t="n">
        <v>0.2</v>
      </c>
      <c r="C4" s="2" t="n">
        <v>4</v>
      </c>
      <c r="D4" s="2" t="n">
        <v>4</v>
      </c>
      <c r="E4" s="2" t="n">
        <v>4</v>
      </c>
    </row>
    <row r="5">
      <c r="A5" s="2" t="inlineStr">
        <is>
          <t>Implementation/support</t>
        </is>
      </c>
      <c r="B5" s="2" t="n">
        <v>0.15</v>
      </c>
      <c r="C5" s="2" t="n">
        <v>4</v>
      </c>
      <c r="D5" s="2" t="n">
        <v>3</v>
      </c>
      <c r="E5" s="2" t="n">
        <v>3</v>
      </c>
    </row>
    <row r="6">
      <c r="A6" s="2" t="inlineStr">
        <is>
          <t>Commercial clarity</t>
        </is>
      </c>
      <c r="B6" s="2" t="n">
        <v>0.1</v>
      </c>
      <c r="C6" s="2" t="n">
        <v>4</v>
      </c>
      <c r="D6" s="2" t="n">
        <v>4</v>
      </c>
      <c r="E6" s="2" t="n">
        <v>3</v>
      </c>
    </row>
    <row r="7">
      <c r="A7" s="2" t="inlineStr">
        <is>
          <t>Weighted /100</t>
        </is>
      </c>
      <c r="B7" s="2" t="n"/>
      <c r="C7" s="3">
        <f>SUMPRODUCT(B2:B6,C2:C6)*20</f>
        <v/>
      </c>
      <c r="D7" s="3">
        <f>SUMPRODUCT(B2:B6,D2:D6)*20</f>
        <v/>
      </c>
      <c r="E7" s="3">
        <f>SUMPRODUCT(B2:B6,E2:E6)*20</f>
        <v/>
      </c>
    </row>
    <row r="8">
      <c r="A8" s="2" t="inlineStr">
        <is>
          <t>Mandatory gates</t>
        </is>
      </c>
      <c r="B8" s="2" t="inlineStr">
        <is>
          <t>Mock only</t>
        </is>
      </c>
      <c r="C8" s="2" t="inlineStr">
        <is>
          <t>Pass assumed</t>
        </is>
      </c>
      <c r="D8" s="2" t="inlineStr">
        <is>
          <t>Pass assumed</t>
        </is>
      </c>
      <c r="E8" s="2" t="inlineStr">
        <is>
          <t>Pass assumed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7" customWidth="1" min="9" max="9"/>
  </cols>
  <sheetData>
    <row r="1">
      <c r="A1" s="1" t="inlineStr">
        <is>
          <t>Mock_vendor</t>
        </is>
      </c>
      <c r="B1" s="1" t="inlineStr">
        <is>
          <t>Users</t>
        </is>
      </c>
      <c r="C1" s="1" t="inlineStr">
        <is>
          <t>Monthly_per_user</t>
        </is>
      </c>
      <c r="D1" s="1" t="inlineStr">
        <is>
          <t>Config</t>
        </is>
      </c>
      <c r="E1" s="1" t="inlineStr">
        <is>
          <t>Migration</t>
        </is>
      </c>
      <c r="F1" s="1" t="inlineStr">
        <is>
          <t>Integration</t>
        </is>
      </c>
      <c r="G1" s="1" t="inlineStr">
        <is>
          <t>Training</t>
        </is>
      </c>
      <c r="H1" s="1" t="inlineStr">
        <is>
          <t>Annual_support</t>
        </is>
      </c>
      <c r="I1" s="1" t="inlineStr">
        <is>
          <t>3_year_TCO</t>
        </is>
      </c>
    </row>
    <row r="2">
      <c r="A2" s="2" t="inlineStr">
        <is>
          <t>A</t>
        </is>
      </c>
      <c r="B2" s="2" t="n">
        <v>20</v>
      </c>
      <c r="C2" s="2" t="n">
        <v>1500</v>
      </c>
      <c r="D2" s="2" t="n">
        <v>150000</v>
      </c>
      <c r="E2" s="2" t="n">
        <v>75000</v>
      </c>
      <c r="F2" s="2" t="n">
        <v>100000</v>
      </c>
      <c r="G2" s="2" t="n">
        <v>30000</v>
      </c>
      <c r="H2" s="2" t="n">
        <v>60000</v>
      </c>
      <c r="I2" s="3">
        <f>B2*C2*36+SUM(D2:G2)+H2*3</f>
        <v/>
      </c>
    </row>
    <row r="3">
      <c r="A3" s="2" t="inlineStr">
        <is>
          <t>B</t>
        </is>
      </c>
      <c r="B3" s="2" t="n">
        <v>20</v>
      </c>
      <c r="C3" s="2" t="n">
        <v>1200</v>
      </c>
      <c r="D3" s="2" t="n">
        <v>100000</v>
      </c>
      <c r="E3" s="2" t="n">
        <v>60000</v>
      </c>
      <c r="F3" s="2" t="n">
        <v>150000</v>
      </c>
      <c r="G3" s="2" t="n">
        <v>25000</v>
      </c>
      <c r="H3" s="2" t="n">
        <v>80000</v>
      </c>
      <c r="I3" s="3">
        <f>B3*C3*36+SUM(D3:G3)+H3*3</f>
        <v/>
      </c>
    </row>
    <row r="4">
      <c r="A4" s="2" t="inlineStr">
        <is>
          <t>C</t>
        </is>
      </c>
      <c r="B4" s="2" t="n">
        <v>20</v>
      </c>
      <c r="C4" s="2" t="n">
        <v>2000</v>
      </c>
      <c r="D4" s="2" t="n">
        <v>180000</v>
      </c>
      <c r="E4" s="2" t="n">
        <v>100000</v>
      </c>
      <c r="F4" s="2" t="n">
        <v>120000</v>
      </c>
      <c r="G4" s="2" t="n">
        <v>40000</v>
      </c>
      <c r="H4" s="2" t="n">
        <v>50000</v>
      </c>
      <c r="I4" s="3">
        <f>B4*C4*36+SUM(D4:G4)+H4*3</f>
        <v/>
      </c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7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Test_ID</t>
        </is>
      </c>
      <c r="B1" s="1" t="inlineStr">
        <is>
          <t>Requirement</t>
        </is>
      </c>
      <c r="C1" s="1" t="inlineStr">
        <is>
          <t>Input_steps</t>
        </is>
      </c>
      <c r="D1" s="1" t="inlineStr">
        <is>
          <t>Expected</t>
        </is>
      </c>
      <c r="E1" s="1" t="inlineStr">
        <is>
          <t>Status</t>
        </is>
      </c>
      <c r="F1" s="1" t="inlineStr">
        <is>
          <t>Actual</t>
        </is>
      </c>
      <c r="G1" s="1" t="inlineStr">
        <is>
          <t>Evidence</t>
        </is>
      </c>
      <c r="H1" s="1" t="inlineStr">
        <is>
          <t>Tester</t>
        </is>
      </c>
    </row>
    <row r="2">
      <c r="A2" s="2" t="inlineStr">
        <is>
          <t>T01</t>
        </is>
      </c>
      <c r="B2" s="2" t="inlineStr">
        <is>
          <t>REQ01</t>
        </is>
      </c>
      <c r="C2" s="2" t="inlineStr">
        <is>
          <t>Active SKU01, D002, 1 carton</t>
        </is>
      </c>
      <c r="D2" s="2" t="inlineStr">
        <is>
          <t>Order passes basic checks</t>
        </is>
      </c>
      <c r="E2" s="2" t="inlineStr">
        <is>
          <t>Not run</t>
        </is>
      </c>
      <c r="F2" s="2" t="inlineStr"/>
      <c r="G2" s="2" t="inlineStr"/>
      <c r="H2" s="2" t="inlineStr"/>
    </row>
    <row r="3">
      <c r="A3" s="2" t="inlineStr">
        <is>
          <t>T02</t>
        </is>
      </c>
      <c r="B3" s="2" t="inlineStr">
        <is>
          <t>REQ01</t>
        </is>
      </c>
      <c r="C3" s="2" t="inlineStr">
        <is>
          <t>SKU04 inactive</t>
        </is>
      </c>
      <c r="D3" s="2" t="inlineStr">
        <is>
          <t>Reject inactive SKU</t>
        </is>
      </c>
      <c r="E3" s="2" t="inlineStr">
        <is>
          <t>Not run</t>
        </is>
      </c>
      <c r="F3" s="2" t="inlineStr"/>
      <c r="G3" s="2" t="inlineStr"/>
      <c r="H3" s="2" t="inlineStr"/>
    </row>
    <row r="4">
      <c r="A4" s="2" t="inlineStr">
        <is>
          <t>T03</t>
        </is>
      </c>
      <c r="B4" s="2" t="inlineStr">
        <is>
          <t>REQ01</t>
        </is>
      </c>
      <c r="C4" s="2" t="inlineStr">
        <is>
          <t>0, -1, 1.5 cartons</t>
        </is>
      </c>
      <c r="D4" s="2" t="inlineStr">
        <is>
          <t>Reject each invalid quantity</t>
        </is>
      </c>
      <c r="E4" s="2" t="inlineStr">
        <is>
          <t>Not run</t>
        </is>
      </c>
      <c r="F4" s="2" t="inlineStr"/>
      <c r="G4" s="2" t="inlineStr"/>
      <c r="H4" s="2" t="inlineStr"/>
    </row>
    <row r="5">
      <c r="A5" s="2" t="inlineStr">
        <is>
          <t>T04</t>
        </is>
      </c>
      <c r="B5" s="2" t="inlineStr">
        <is>
          <t>REQ02</t>
        </is>
      </c>
      <c r="C5" s="2" t="inlineStr">
        <is>
          <t>SKU01, 9 cartons</t>
        </is>
      </c>
      <c r="D5" s="2" t="inlineStr">
        <is>
          <t>Net 9000; no discount</t>
        </is>
      </c>
      <c r="E5" s="2" t="inlineStr">
        <is>
          <t>Not run</t>
        </is>
      </c>
      <c r="F5" s="2" t="inlineStr"/>
      <c r="G5" s="2" t="inlineStr"/>
      <c r="H5" s="2" t="inlineStr"/>
    </row>
    <row r="6">
      <c r="A6" s="2" t="inlineStr">
        <is>
          <t>T05</t>
        </is>
      </c>
      <c r="B6" s="2" t="inlineStr">
        <is>
          <t>REQ02</t>
        </is>
      </c>
      <c r="C6" s="2" t="inlineStr">
        <is>
          <t>SKU01, 10 cartons</t>
        </is>
      </c>
      <c r="D6" s="2" t="inlineStr">
        <is>
          <t>Net 9500; 5% discount</t>
        </is>
      </c>
      <c r="E6" s="2" t="inlineStr">
        <is>
          <t>Not run</t>
        </is>
      </c>
      <c r="F6" s="2" t="inlineStr"/>
      <c r="G6" s="2" t="inlineStr"/>
      <c r="H6" s="2" t="inlineStr"/>
    </row>
    <row r="7">
      <c r="A7" s="2" t="inlineStr">
        <is>
          <t>T06</t>
        </is>
      </c>
      <c r="B7" s="2" t="inlineStr">
        <is>
          <t>REQ03</t>
        </is>
      </c>
      <c r="C7" s="2" t="inlineStr">
        <is>
          <t>D001, SKU01, 10 cartons</t>
        </is>
      </c>
      <c r="D7" s="2" t="inlineStr">
        <is>
          <t>Exposure 51500; HOLD; no reservation</t>
        </is>
      </c>
      <c r="E7" s="2" t="inlineStr">
        <is>
          <t>Not run</t>
        </is>
      </c>
      <c r="F7" s="2" t="inlineStr"/>
      <c r="G7" s="2" t="inlineStr"/>
      <c r="H7" s="2" t="inlineStr"/>
    </row>
    <row r="8">
      <c r="A8" s="2" t="inlineStr">
        <is>
          <t>T07</t>
        </is>
      </c>
      <c r="B8" s="2" t="inlineStr">
        <is>
          <t>REQ03</t>
        </is>
      </c>
      <c r="C8" s="2" t="inlineStr">
        <is>
          <t>Exposure exactly credit limit</t>
        </is>
      </c>
      <c r="D8" s="2" t="inlineStr">
        <is>
          <t>CLEAR; equality is allowed</t>
        </is>
      </c>
      <c r="E8" s="2" t="inlineStr">
        <is>
          <t>Not run</t>
        </is>
      </c>
      <c r="F8" s="2" t="inlineStr"/>
      <c r="G8" s="2" t="inlineStr"/>
      <c r="H8" s="2" t="inlineStr"/>
    </row>
    <row r="9">
      <c r="A9" s="2" t="inlineStr">
        <is>
          <t>T08</t>
        </is>
      </c>
      <c r="B9" s="2" t="inlineStr">
        <is>
          <t>REQ04</t>
        </is>
      </c>
      <c r="C9" s="2" t="inlineStr">
        <is>
          <t>SKU03, 9 cartons; available 8</t>
        </is>
      </c>
      <c r="D9" s="2" t="inlineStr">
        <is>
          <t>Reject insufficient stock</t>
        </is>
      </c>
      <c r="E9" s="2" t="inlineStr">
        <is>
          <t>Not run</t>
        </is>
      </c>
      <c r="F9" s="2" t="inlineStr"/>
      <c r="G9" s="2" t="inlineStr"/>
      <c r="H9" s="2" t="inlineStr"/>
    </row>
    <row r="10">
      <c r="A10" s="2" t="inlineStr">
        <is>
          <t>T09</t>
        </is>
      </c>
      <c r="B10" s="2" t="inlineStr">
        <is>
          <t>REQ04</t>
        </is>
      </c>
      <c r="C10" s="2" t="inlineStr">
        <is>
          <t>SKU03, 8 cartons; available 8; D002</t>
        </is>
      </c>
      <c r="D10" s="2" t="inlineStr">
        <is>
          <t>Pass stock boundary</t>
        </is>
      </c>
      <c r="E10" s="2" t="inlineStr">
        <is>
          <t>Not run</t>
        </is>
      </c>
      <c r="F10" s="2" t="inlineStr"/>
      <c r="G10" s="2" t="inlineStr"/>
      <c r="H10" s="2" t="inlineStr"/>
    </row>
    <row r="11">
      <c r="A11" s="2" t="inlineStr">
        <is>
          <t>T10</t>
        </is>
      </c>
      <c r="B11" s="2" t="inlineStr">
        <is>
          <t>REQ05</t>
        </is>
      </c>
      <c r="C11" s="2" t="inlineStr">
        <is>
          <t>Dispatch reserved 10 twice</t>
        </is>
      </c>
      <c r="D11" s="2" t="inlineStr">
        <is>
          <t>First updates stock; second rejected/no change</t>
        </is>
      </c>
      <c r="E11" s="2" t="inlineStr">
        <is>
          <t>Not run</t>
        </is>
      </c>
      <c r="F11" s="2" t="inlineStr"/>
      <c r="G11" s="2" t="inlineStr"/>
      <c r="H11" s="2" t="inlineStr"/>
    </row>
    <row r="12">
      <c r="A12" s="2" t="inlineStr">
        <is>
          <t>T11</t>
        </is>
      </c>
      <c r="B12" s="2" t="inlineStr">
        <is>
          <t>REQ06</t>
        </is>
      </c>
      <c r="C12" s="2" t="inlineStr">
        <is>
          <t>Deliver 10, previously return 2, new return 9</t>
        </is>
      </c>
      <c r="D12" s="2" t="inlineStr">
        <is>
          <t>Reject over-return</t>
        </is>
      </c>
      <c r="E12" s="2" t="inlineStr">
        <is>
          <t>Not run</t>
        </is>
      </c>
      <c r="F12" s="2" t="inlineStr"/>
      <c r="G12" s="2" t="inlineStr"/>
      <c r="H12" s="2" t="inlineStr"/>
    </row>
    <row r="13">
      <c r="A13" s="2" t="inlineStr">
        <is>
          <t>T12</t>
        </is>
      </c>
      <c r="B13" s="2" t="inlineStr">
        <is>
          <t>REQ06</t>
        </is>
      </c>
      <c r="C13" s="2" t="inlineStr">
        <is>
          <t>Saleable 2 / damaged 2</t>
        </is>
      </c>
      <c r="D13" s="2" t="inlineStr">
        <is>
          <t>Saleable adds 2; damaged quarantine only</t>
        </is>
      </c>
      <c r="E13" s="2" t="inlineStr">
        <is>
          <t>Not run</t>
        </is>
      </c>
      <c r="F13" s="2" t="inlineStr"/>
      <c r="G13" s="2" t="inlineStr"/>
      <c r="H13" s="2" t="inlineStr"/>
    </row>
    <row r="14">
      <c r="A14" s="2" t="inlineStr">
        <is>
          <t>T13</t>
        </is>
      </c>
      <c r="B14" s="2" t="inlineStr">
        <is>
          <t>REQ07</t>
        </is>
      </c>
      <c r="C14" s="2" t="inlineStr">
        <is>
          <t>D001 requests D002 order</t>
        </is>
      </c>
      <c r="D14" s="2" t="inlineStr">
        <is>
          <t>Deny access</t>
        </is>
      </c>
      <c r="E14" s="2" t="inlineStr">
        <is>
          <t>Not run</t>
        </is>
      </c>
      <c r="F14" s="2" t="inlineStr"/>
      <c r="G14" s="2" t="inlineStr"/>
      <c r="H14" s="2" t="inlineStr"/>
    </row>
    <row r="15">
      <c r="A15" s="2" t="inlineStr">
        <is>
          <t>T14</t>
        </is>
      </c>
      <c r="B15" s="2" t="inlineStr">
        <is>
          <t>REQ07</t>
        </is>
      </c>
      <c r="C15" s="2" t="inlineStr">
        <is>
          <t>Distributor requests credit release</t>
        </is>
      </c>
      <c r="D15" s="2" t="inlineStr">
        <is>
          <t>Deny; finance approval only</t>
        </is>
      </c>
      <c r="E15" s="2" t="inlineStr">
        <is>
          <t>Not run</t>
        </is>
      </c>
      <c r="F15" s="2" t="inlineStr"/>
      <c r="G15" s="2" t="inlineStr"/>
      <c r="H15" s="2" t="inlineStr"/>
    </row>
    <row r="16">
      <c r="A16" s="2" t="inlineStr">
        <is>
          <t>T15</t>
        </is>
      </c>
      <c r="B16" s="2" t="inlineStr">
        <is>
          <t>REQ08</t>
        </is>
      </c>
      <c r="C16" s="2" t="inlineStr">
        <is>
          <t>Duplicate SKU/orphan order</t>
        </is>
      </c>
      <c r="D16" s="2" t="inlineStr">
        <is>
          <t>Reject rows; show reasons</t>
        </is>
      </c>
      <c r="E16" s="2" t="inlineStr">
        <is>
          <t>Not run</t>
        </is>
      </c>
      <c r="F16" s="2" t="inlineStr"/>
      <c r="G16" s="2" t="inlineStr"/>
      <c r="H16" s="2" t="inlineStr"/>
    </row>
    <row r="17">
      <c r="A17" s="2" t="inlineStr">
        <is>
          <t>T16</t>
        </is>
      </c>
      <c r="B17" s="2" t="inlineStr">
        <is>
          <t>REQ08</t>
        </is>
      </c>
      <c r="C17" s="2" t="inlineStr">
        <is>
          <t>Opening stock/balance sum mismatch</t>
        </is>
      </c>
      <c r="D17" s="2" t="inlineStr">
        <is>
          <t>Block import sign-off</t>
        </is>
      </c>
      <c r="E17" s="2" t="inlineStr">
        <is>
          <t>Not run</t>
        </is>
      </c>
      <c r="F17" s="2" t="inlineStr"/>
      <c r="G17" s="2" t="inlineStr"/>
      <c r="H17" s="2" t="inlineStr"/>
    </row>
    <row r="18">
      <c r="A18" s="2" t="inlineStr">
        <is>
          <t>T17</t>
        </is>
      </c>
      <c r="B18" s="2" t="inlineStr">
        <is>
          <t>REQ09</t>
        </is>
      </c>
      <c r="C18" s="2" t="inlineStr">
        <is>
          <t>Orders 10+10; delivered 10+5</t>
        </is>
      </c>
      <c r="D18" s="2" t="inlineStr">
        <is>
          <t>Fill rate 75% excluding cancelled orders</t>
        </is>
      </c>
      <c r="E18" s="2" t="inlineStr">
        <is>
          <t>Not run</t>
        </is>
      </c>
      <c r="F18" s="2" t="inlineStr"/>
      <c r="G18" s="2" t="inlineStr"/>
      <c r="H18" s="2" t="inlineStr"/>
    </row>
    <row r="19">
      <c r="A19" s="2" t="inlineStr">
        <is>
          <t>T18</t>
        </is>
      </c>
      <c r="B19" s="2" t="inlineStr">
        <is>
          <t>REQ10</t>
        </is>
      </c>
      <c r="C19" s="2" t="inlineStr">
        <is>
          <t>Same ERP event twice</t>
        </is>
      </c>
      <c r="D19" s="2" t="inlineStr">
        <is>
          <t>One posting; return original acknowledgement</t>
        </is>
      </c>
      <c r="E19" s="2" t="inlineStr">
        <is>
          <t>Not run</t>
        </is>
      </c>
      <c r="F19" s="2" t="inlineStr"/>
      <c r="G19" s="2" t="inlineStr"/>
      <c r="H19" s="2" t="inlineStr"/>
    </row>
  </sheetData>
  <autoFilter ref="A1:H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0" customWidth="1" min="4" max="4"/>
  </cols>
  <sheetData>
    <row r="1">
      <c r="A1" s="1" t="inlineStr">
        <is>
          <t>Requirement</t>
        </is>
      </c>
      <c r="B1" s="1" t="inlineStr">
        <is>
          <t>Design</t>
        </is>
      </c>
      <c r="C1" s="1" t="inlineStr">
        <is>
          <t>Tests</t>
        </is>
      </c>
      <c r="D1" s="1" t="inlineStr">
        <is>
          <t>Evidence_status</t>
        </is>
      </c>
    </row>
    <row r="2">
      <c r="A2" s="2" t="inlineStr">
        <is>
          <t>REQ01</t>
        </is>
      </c>
      <c r="B2" s="2" t="inlineStr">
        <is>
          <t>Order capture</t>
        </is>
      </c>
      <c r="C2" s="2" t="inlineStr">
        <is>
          <t>T01, T02, T03</t>
        </is>
      </c>
      <c r="D2" s="2" t="inlineStr">
        <is>
          <t>Awaiting execution</t>
        </is>
      </c>
    </row>
    <row r="3">
      <c r="A3" s="2" t="inlineStr">
        <is>
          <t>REQ02</t>
        </is>
      </c>
      <c r="B3" s="2" t="inlineStr">
        <is>
          <t>Pricing and schemes</t>
        </is>
      </c>
      <c r="C3" s="2" t="inlineStr">
        <is>
          <t>T04, T05</t>
        </is>
      </c>
      <c r="D3" s="2" t="inlineStr">
        <is>
          <t>Awaiting execution</t>
        </is>
      </c>
    </row>
    <row r="4">
      <c r="A4" s="2" t="inlineStr">
        <is>
          <t>REQ03</t>
        </is>
      </c>
      <c r="B4" s="2" t="inlineStr">
        <is>
          <t>Credit control</t>
        </is>
      </c>
      <c r="C4" s="2" t="inlineStr">
        <is>
          <t>T06, T07</t>
        </is>
      </c>
      <c r="D4" s="2" t="inlineStr">
        <is>
          <t>Awaiting execution</t>
        </is>
      </c>
    </row>
    <row r="5">
      <c r="A5" s="2" t="inlineStr">
        <is>
          <t>REQ04</t>
        </is>
      </c>
      <c r="B5" s="2" t="inlineStr">
        <is>
          <t>Inventory reservation</t>
        </is>
      </c>
      <c r="C5" s="2" t="inlineStr">
        <is>
          <t>T08, T09</t>
        </is>
      </c>
      <c r="D5" s="2" t="inlineStr">
        <is>
          <t>Awaiting execution</t>
        </is>
      </c>
    </row>
    <row r="6">
      <c r="A6" s="2" t="inlineStr">
        <is>
          <t>REQ05</t>
        </is>
      </c>
      <c r="B6" s="2" t="inlineStr">
        <is>
          <t>Delivery</t>
        </is>
      </c>
      <c r="C6" s="2" t="inlineStr">
        <is>
          <t>T10</t>
        </is>
      </c>
      <c r="D6" s="2" t="inlineStr">
        <is>
          <t>Awaiting execution</t>
        </is>
      </c>
    </row>
    <row r="7">
      <c r="A7" s="2" t="inlineStr">
        <is>
          <t>REQ06</t>
        </is>
      </c>
      <c r="B7" s="2" t="inlineStr">
        <is>
          <t>Returns</t>
        </is>
      </c>
      <c r="C7" s="2" t="inlineStr">
        <is>
          <t>T11, T12</t>
        </is>
      </c>
      <c r="D7" s="2" t="inlineStr">
        <is>
          <t>Awaiting execution</t>
        </is>
      </c>
    </row>
    <row r="8">
      <c r="A8" s="2" t="inlineStr">
        <is>
          <t>REQ07</t>
        </is>
      </c>
      <c r="B8" s="2" t="inlineStr">
        <is>
          <t>Access control</t>
        </is>
      </c>
      <c r="C8" s="2" t="inlineStr">
        <is>
          <t>T13, T14</t>
        </is>
      </c>
      <c r="D8" s="2" t="inlineStr">
        <is>
          <t>Awaiting execution</t>
        </is>
      </c>
    </row>
    <row r="9">
      <c r="A9" s="2" t="inlineStr">
        <is>
          <t>REQ08</t>
        </is>
      </c>
      <c r="B9" s="2" t="inlineStr">
        <is>
          <t>Migration</t>
        </is>
      </c>
      <c r="C9" s="2" t="inlineStr">
        <is>
          <t>T15, T16</t>
        </is>
      </c>
      <c r="D9" s="2" t="inlineStr">
        <is>
          <t>Awaiting execution</t>
        </is>
      </c>
    </row>
    <row r="10">
      <c r="A10" s="2" t="inlineStr">
        <is>
          <t>REQ09</t>
        </is>
      </c>
      <c r="B10" s="2" t="inlineStr">
        <is>
          <t>Reporting</t>
        </is>
      </c>
      <c r="C10" s="2" t="inlineStr">
        <is>
          <t>T17</t>
        </is>
      </c>
      <c r="D10" s="2" t="inlineStr">
        <is>
          <t>Awaiting execution</t>
        </is>
      </c>
    </row>
    <row r="11">
      <c r="A11" s="2" t="inlineStr">
        <is>
          <t>REQ10</t>
        </is>
      </c>
      <c r="B11" s="2" t="inlineStr">
        <is>
          <t>Integration</t>
        </is>
      </c>
      <c r="C11" s="2" t="inlineStr">
        <is>
          <t>T18</t>
        </is>
      </c>
      <c r="D11" s="2" t="inlineStr">
        <is>
          <t>Awaiting execution</t>
        </is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1" customWidth="1" min="4" max="4"/>
    <col width="18" customWidth="1" min="5" max="5"/>
    <col width="23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Severity</t>
        </is>
      </c>
      <c r="D1" s="1" t="inlineStr">
        <is>
          <t>Scenario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</row>
    <row r="2">
      <c r="A2" s="2" t="inlineStr">
        <is>
          <t>EXAMPLE_ONLY</t>
        </is>
      </c>
      <c r="B2" s="2" t="inlineStr">
        <is>
          <t>T05</t>
        </is>
      </c>
      <c r="C2" s="2" t="inlineStr">
        <is>
          <t>High</t>
        </is>
      </c>
      <c r="D2" s="2" t="inlineStr">
        <is>
          <t>Hypothetical threshold defect</t>
        </is>
      </c>
      <c r="E2" s="2" t="inlineStr">
        <is>
          <t>5% at 10 cartons</t>
        </is>
      </c>
      <c r="F2" s="2" t="inlineStr">
        <is>
          <t>Hypothetical 0% at 10</t>
        </is>
      </c>
      <c r="G2" s="2" t="inlineStr">
        <is>
          <t>Illustrative, not observed</t>
        </is>
      </c>
    </row>
  </sheetData>
  <autoFilter ref="A1: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1" t="inlineStr">
        <is>
          <t>Session_date</t>
        </is>
      </c>
      <c r="B1" s="1" t="inlineStr">
        <is>
          <t>Reviewer_role</t>
        </is>
      </c>
      <c r="C1" s="1" t="inlineStr">
        <is>
          <t>Task</t>
        </is>
      </c>
      <c r="D1" s="1" t="inlineStr">
        <is>
          <t>Observation</t>
        </is>
      </c>
      <c r="E1" s="1" t="inlineStr">
        <is>
          <t>Change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/>
      <c r="B2" s="2" t="inlineStr">
        <is>
          <t>Distributor</t>
        </is>
      </c>
      <c r="C2" s="2" t="inlineStr">
        <is>
          <t>Submit order and explain hold</t>
        </is>
      </c>
      <c r="D2" s="2" t="inlineStr"/>
      <c r="E2" s="2" t="inlineStr"/>
      <c r="F2" s="2" t="inlineStr"/>
      <c r="G2" s="2" t="inlineStr">
        <is>
          <t>Pending role-play</t>
        </is>
      </c>
    </row>
    <row r="3">
      <c r="A3" s="2" t="inlineStr"/>
      <c r="B3" s="2" t="inlineStr">
        <is>
          <t>Finance</t>
        </is>
      </c>
      <c r="C3" s="2" t="inlineStr">
        <is>
          <t>Explain credit review and release</t>
        </is>
      </c>
      <c r="D3" s="2" t="inlineStr"/>
      <c r="E3" s="2" t="inlineStr"/>
      <c r="F3" s="2" t="inlineStr"/>
      <c r="G3" s="2" t="inlineStr">
        <is>
          <t>Pending role-play</t>
        </is>
      </c>
    </row>
  </sheetData>
  <autoFilter ref="A1:G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6" customWidth="1" min="4" max="4"/>
  </cols>
  <sheetData>
    <row r="1">
      <c r="A1" s="1" t="inlineStr">
        <is>
          <t>Check</t>
        </is>
      </c>
      <c r="B1" s="1" t="inlineStr">
        <is>
          <t>Owner</t>
        </is>
      </c>
      <c r="C1" s="1" t="inlineStr">
        <is>
          <t>Evidence</t>
        </is>
      </c>
      <c r="D1" s="1" t="inlineStr">
        <is>
          <t>Status</t>
        </is>
      </c>
    </row>
    <row r="2">
      <c r="A2" s="2" t="inlineStr">
        <is>
          <t>Opening balance reconciled</t>
        </is>
      </c>
      <c r="B2" s="2" t="inlineStr">
        <is>
          <t>Finance</t>
        </is>
      </c>
      <c r="C2" s="2" t="inlineStr"/>
      <c r="D2" s="2" t="inlineStr">
        <is>
          <t>Pending</t>
        </is>
      </c>
    </row>
    <row r="3">
      <c r="A3" s="2" t="inlineStr">
        <is>
          <t>Master/stock counts reconciled</t>
        </is>
      </c>
      <c r="B3" s="2" t="inlineStr">
        <is>
          <t>Data steward</t>
        </is>
      </c>
      <c r="C3" s="2" t="inlineStr"/>
      <c r="D3" s="2" t="inlineStr">
        <is>
          <t>Pending</t>
        </is>
      </c>
    </row>
    <row r="4">
      <c r="A4" s="2" t="inlineStr">
        <is>
          <t>Access isolation tested</t>
        </is>
      </c>
      <c r="B4" s="2" t="inlineStr">
        <is>
          <t>IT</t>
        </is>
      </c>
      <c r="C4" s="2" t="inlineStr"/>
      <c r="D4" s="2" t="inlineStr">
        <is>
          <t>Pending</t>
        </is>
      </c>
    </row>
    <row r="5">
      <c r="A5" s="2" t="inlineStr">
        <is>
          <t>Critical UAT passed</t>
        </is>
      </c>
      <c r="B5" s="2" t="inlineStr">
        <is>
          <t>Business owners</t>
        </is>
      </c>
      <c r="C5" s="2" t="inlineStr"/>
      <c r="D5" s="2" t="inlineStr">
        <is>
          <t>Pending</t>
        </is>
      </c>
    </row>
    <row r="6">
      <c r="A6" s="2" t="inlineStr">
        <is>
          <t>Training completed</t>
        </is>
      </c>
      <c r="B6" s="2" t="inlineStr">
        <is>
          <t>BA</t>
        </is>
      </c>
      <c r="C6" s="2" t="inlineStr"/>
      <c r="D6" s="2" t="inlineStr">
        <is>
          <t>Pending</t>
        </is>
      </c>
    </row>
    <row r="7">
      <c r="A7" s="2" t="inlineStr">
        <is>
          <t>Rollback export verified</t>
        </is>
      </c>
      <c r="B7" s="2" t="inlineStr">
        <is>
          <t>IT</t>
        </is>
      </c>
      <c r="C7" s="2" t="inlineStr"/>
      <c r="D7" s="2" t="inlineStr">
        <is>
          <t>Pending</t>
        </is>
      </c>
    </row>
    <row r="8">
      <c r="A8" s="2" t="inlineStr">
        <is>
          <t>Sponsor approval obtained</t>
        </is>
      </c>
      <c r="B8" s="2" t="inlineStr">
        <is>
          <t>Sponsor</t>
        </is>
      </c>
      <c r="C8" s="2" t="inlineStr"/>
      <c r="D8" s="2" t="inlineStr">
        <is>
          <t>Pending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2026-10-06T06:13:44Z</dcterms:created>
  <dcterms:modified xmlns:dcterms="http://purl.org/dc/terms/" xmlns:xsi="http://www.w3.org/2001/XMLSchema-instance" xsi:type="dcterms:W3CDTF">2026-10-06T06:13:44Z</dcterms:modified>
</cp:coreProperties>
</file>